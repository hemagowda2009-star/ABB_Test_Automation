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 sheetId="2" name="Summary" state="visible" r:id="rId5"/>
  </sheets>
  <calcPr calcId="171027"/>
</workbook>
</file>

<file path=xl/sharedStrings.xml><?xml version="1.0" encoding="utf-8"?>
<sst xmlns="http://schemas.openxmlformats.org/spreadsheetml/2006/main" count="446" uniqueCount="213">
  <si>
    <t>TC ID</t>
  </si>
  <si>
    <t>Module</t>
  </si>
  <si>
    <t>Title</t>
  </si>
  <si>
    <t>Test Type</t>
  </si>
  <si>
    <t>Coverage Type</t>
  </si>
  <si>
    <t>Priority</t>
  </si>
  <si>
    <t>Preconditions</t>
  </si>
  <si>
    <t>Test Steps (Gherkin)</t>
  </si>
  <si>
    <t>Test Data</t>
  </si>
  <si>
    <t>Automation</t>
  </si>
  <si>
    <t>Execution Status</t>
  </si>
  <si>
    <t>TC-001</t>
  </si>
  <si>
    <t>Login (UI)</t>
  </si>
  <si>
    <t>Valid user can sign in</t>
  </si>
  <si>
    <t>Positive</t>
  </si>
  <si>
    <t>Functional</t>
  </si>
  <si>
    <t>P1</t>
  </si>
  <si>
    <t>Registered demo account exists</t>
  </si>
  <si>
    <t xml:space="preserve">Scenario: Successful sign in with valid credentials
  Given the user is on the ThingsBoard login page
  When the user enters a valid username and password
  And clicks "Sign in"
  Then the user is redirected away from "/login"
  And the home page navigation menu is displayed</t>
  </si>
  <si>
    <t>TB_USERNAME / TB_PASSWORD from .env</t>
  </si>
  <si>
    <t>Automated - test_dashboard_ui.feature (Background)</t>
  </si>
  <si>
    <t>Not Run - demo login unavailable</t>
  </si>
  <si>
    <t>TC-002</t>
  </si>
  <si>
    <t>Wrong password shows error and keeps user on login page</t>
  </si>
  <si>
    <t>Negative</t>
  </si>
  <si>
    <t>None</t>
  </si>
  <si>
    <t xml:space="preserve">Scenario: Sign in rejected for invalid credentials
  Given the user is on the ThingsBoard login page
  When the user signs in with an unregistered email and wrong password
  Then the message "Invalid username or password" is displayed
  And the user remains on "/login"</t>
  </si>
  <si>
    <t>nobody_&lt;ts&gt;@example.com / WrongPassword1!</t>
  </si>
  <si>
    <t>Manual</t>
  </si>
  <si>
    <t>Pass - verified 2026-10-05</t>
  </si>
  <si>
    <t>TC-003</t>
  </si>
  <si>
    <t>Invalid email format shows inline validation</t>
  </si>
  <si>
    <t>UI</t>
  </si>
  <si>
    <t>P2</t>
  </si>
  <si>
    <t xml:space="preserve">Scenario: Inline validation for malformed email
  Given the user is on the ThingsBoard login page
  When the user types "not-an-email" in "Username (email)"
  And moves focus out of the field
  Then the inline error "Invalid email format." is displayed</t>
  </si>
  <si>
    <t>not-an-email</t>
  </si>
  <si>
    <t>Pass - verified 2026-10-05 (see BUG-003)</t>
  </si>
  <si>
    <t>TC-004</t>
  </si>
  <si>
    <t>Sign in is blocked while required fields are empty</t>
  </si>
  <si>
    <t>Edge</t>
  </si>
  <si>
    <t>P3</t>
  </si>
  <si>
    <t xml:space="preserve">Scenario: Submit with empty credentials
  Given the user is on the ThingsBoard login page
  When both fields are empty
  Then the "Sign in" button is disabled or submission shows required-field errors
  And no request is sent to /api/auth/login</t>
  </si>
  <si>
    <t>Empty fields</t>
  </si>
  <si>
    <t>Fail - button enabled (BUG-003)</t>
  </si>
  <si>
    <t>TC-005</t>
  </si>
  <si>
    <t>Password visibility toggle is accessible</t>
  </si>
  <si>
    <t>Accessibility</t>
  </si>
  <si>
    <t>Screen reader or accessibility tree inspector</t>
  </si>
  <si>
    <t xml:space="preserve">Scenario: Password visibility toggle has an accessible name
  Given the user is on the ThingsBoard login page
  When the accessibility tree of the password field is inspected
  Then the visibility toggle button exposes a name such as "Show password"</t>
  </si>
  <si>
    <t>N/A</t>
  </si>
  <si>
    <t>Fail - BUG-001</t>
  </si>
  <si>
    <t>TC-006</t>
  </si>
  <si>
    <t>Dashboard (UI)</t>
  </si>
  <si>
    <t>Open Device Telemetry Dashboard from Dashboards &gt; All</t>
  </si>
  <si>
    <t>User signed in</t>
  </si>
  <si>
    <t xml:space="preserve">Scenario: Navigate to the telemetry dashboard
  Given the user is signed in
  When the user opens "Dashboards" &gt; "All"
  And selects "Device Telemetry Dashboard"
  Then the dashboard opens with its title displayed</t>
  </si>
  <si>
    <t>thingsboardData.json &gt; dashboard</t>
  </si>
  <si>
    <t>Automated - @thingsboard @smoke</t>
  </si>
  <si>
    <t>TC-007</t>
  </si>
  <si>
    <t>All telemetry widgets are rendered</t>
  </si>
  <si>
    <t>Dashboard open</t>
  </si>
  <si>
    <t xml:space="preserve">Scenario: Telemetry widgets visible
  Given the Device Telemetry Dashboard is open
  Then the "Temperature" and "Humidity" widgets are visible
  And a screenshot is captured</t>
  </si>
  <si>
    <t>telemetryWidgets[]</t>
  </si>
  <si>
    <t>Automated - @smoke</t>
  </si>
  <si>
    <t>TC-008</t>
  </si>
  <si>
    <t>Widget values are numeric and within range</t>
  </si>
  <si>
    <t>Data Validation</t>
  </si>
  <si>
    <t>Dashboard open, simulator streaming</t>
  </si>
  <si>
    <t xml:space="preserve">Scenario: Latest values are valid
  Given the Device Telemetry Dashboard is open
  Then each telemetry widget shows a numeric value
  And Temperature is between -40 and 85 °C
  And Humidity is between 0 and 100 %</t>
  </si>
  <si>
    <t>min/max in thingsboardData.json</t>
  </si>
  <si>
    <t>Automated - @datavalidation</t>
  </si>
  <si>
    <t>TC-009</t>
  </si>
  <si>
    <t>Temperature widget updates in real time</t>
  </si>
  <si>
    <t>Real-time</t>
  </si>
  <si>
    <t>Simulator streaming</t>
  </si>
  <si>
    <t xml:space="preserve">Scenario: Temperature streams live
  Given the Device Telemetry Dashboard is open
  When the Temperature value is observed for up to 30 seconds
  Then the displayed value changes without a page refresh</t>
  </si>
  <si>
    <t>realtime.maxWaitMs = 30000</t>
  </si>
  <si>
    <t>Automated - @realtime</t>
  </si>
  <si>
    <t>TC-010</t>
  </si>
  <si>
    <t>Humidity widget updates in real time</t>
  </si>
  <si>
    <t xml:space="preserve">Scenario: Humidity streams live
  Given the Device Telemetry Dashboard is open
  When the Humidity value is observed for up to 30 seconds
  Then the displayed value changes without a page refresh</t>
  </si>
  <si>
    <t>TC-011</t>
  </si>
  <si>
    <t>Time-series chart renders streamed data</t>
  </si>
  <si>
    <t xml:space="preserve">Scenario: Chart rendered
  Given the Device Telemetry Dashboard is open
  Then the time-series chart displays a plotted series with a legend</t>
  </si>
  <si>
    <t>chartWidget.title</t>
  </si>
  <si>
    <t>Automated - @chart</t>
  </si>
  <si>
    <t>TC-012</t>
  </si>
  <si>
    <t>Search for a non-existent dashboard</t>
  </si>
  <si>
    <t xml:space="preserve">Scenario: No results for unknown dashboard
  Given the user is on "Dashboards" &gt; "All"
  When the user searches for "Dashboard-DoesNotExist-123"
  Then an empty-state message "No dashboards found" is displayed</t>
  </si>
  <si>
    <t>Dashboard-DoesNotExist-123</t>
  </si>
  <si>
    <t>TC-013</t>
  </si>
  <si>
    <t>Direct dashboard URL without session redirects to login</t>
  </si>
  <si>
    <t>Security</t>
  </si>
  <si>
    <t>Signed out, dashboard URL known</t>
  </si>
  <si>
    <t xml:space="preserve">Scenario: Protected dashboard requires authentication
  Given the user is not signed in
  When the user opens a dashboard URL directly
  Then the user is redirected to "/login"
  And no telemetry is displayed</t>
  </si>
  <si>
    <t>/dashboards/&lt;id&gt;</t>
  </si>
  <si>
    <t>TC-014</t>
  </si>
  <si>
    <t>Widget shows empty state when device sends no telemetry</t>
  </si>
  <si>
    <t>A device with no telemetry bound to a widget</t>
  </si>
  <si>
    <t xml:space="preserve">Scenario: No data available
  Given a widget is bound to a device with no telemetry
  When the dashboard is opened
  Then the widget shows "No data to display"
  And never shows "NaN", "undefined" or a stale value</t>
  </si>
  <si>
    <t>Device without telemetry</t>
  </si>
  <si>
    <t>TC-015</t>
  </si>
  <si>
    <t>Out-of-range value is displayed and highlighted</t>
  </si>
  <si>
    <t>Device access token to post telemetry</t>
  </si>
  <si>
    <t xml:space="preserve">Scenario: Extreme telemetry value
  Given the dashboard is open
  When telemetry {"temperature": 999} is posted for the device
  Then the widget displays 999 without layout break
  And any configured alarm/colour threshold is applied</t>
  </si>
  <si>
    <t>temperature = 999</t>
  </si>
  <si>
    <t>TC-016</t>
  </si>
  <si>
    <t>Dashboard layout on a mobile viewport</t>
  </si>
  <si>
    <t xml:space="preserve">Scenario: Responsive layout
  Given the dashboard is open
  When the viewport is resized to 375x812
  Then widgets stack vertically without overlap or clipped values</t>
  </si>
  <si>
    <t>375x812</t>
  </si>
  <si>
    <t>TC-017</t>
  </si>
  <si>
    <t>Changing the time window refreshes the chart</t>
  </si>
  <si>
    <t xml:space="preserve">Scenario: Realtime window change
  Given the dashboard is open in "Realtime - last 5 minutes"
  When the user selects "Realtime - last 1 minute"
  Then the chart x-axis rescales to 1 minute
  And live updates continue</t>
  </si>
  <si>
    <t>Timewindow 1 min</t>
  </si>
  <si>
    <t>TC-018</t>
  </si>
  <si>
    <t>Live updates resume after network loss</t>
  </si>
  <si>
    <t xml:space="preserve">Scenario: WebSocket reconnect
  Given the dashboard is receiving live updates
  When the network is offline for 20 seconds and then restored
  Then live updates resume without manual refresh
  And an offline/reconnecting indicator was shown while offline</t>
  </si>
  <si>
    <t>context.setOffline(true/false)</t>
  </si>
  <si>
    <t>TC-019</t>
  </si>
  <si>
    <t>Widget timestamp matches API timestamp in local timezone</t>
  </si>
  <si>
    <t>Dashboard open, API access</t>
  </si>
  <si>
    <t xml:space="preserve">Scenario: Timestamp consistency
  Given the latest telemetry ts is read from the REST API
  When the same value is viewed on the dashboard
  Then the displayed time equals the API ts converted to the browser timezone</t>
  </si>
  <si>
    <t>Browser TZ vs epoch ms</t>
  </si>
  <si>
    <t>TC-020</t>
  </si>
  <si>
    <t>UI value matches latest API value</t>
  </si>
  <si>
    <t xml:space="preserve">Scenario: UI and API consistency
  Given the latest temperature is fetched from the REST API
  When the Temperature widget is read within the same second
  Then both values are equal within the widget's decimal precision</t>
  </si>
  <si>
    <t>temperature</t>
  </si>
  <si>
    <t>TC-021</t>
  </si>
  <si>
    <t>Telemetry API</t>
  </si>
  <si>
    <t>Login returns JWT and refresh token</t>
  </si>
  <si>
    <t>API</t>
  </si>
  <si>
    <t>Valid account</t>
  </si>
  <si>
    <t xml:space="preserve">Scenario: Obtain JWT
  When POST /api/auth/login is sent with valid credentials
  Then the response status is 200
  And "token" and "refreshToken" are JWTs
  And the token "sub" equals the username and "exp" is in the future</t>
  </si>
  <si>
    <t>TB_USERNAME / TB_PASSWORD</t>
  </si>
  <si>
    <t>Automated - @api @auth</t>
  </si>
  <si>
    <t>TC-022</t>
  </si>
  <si>
    <t>Login with wrong credentials</t>
  </si>
  <si>
    <t xml:space="preserve">Scenario: Reject invalid credentials
  When POST /api/auth/login is sent with an unknown user
  Then the response status is 401
  And "message" is "Invalid username or password" with "errorCode" 10</t>
  </si>
  <si>
    <t>nobody@example.com / bad</t>
  </si>
  <si>
    <t>TC-023</t>
  </si>
  <si>
    <t>Protected endpoint without token</t>
  </si>
  <si>
    <t xml:space="preserve">Scenario: Missing token
  When GET /api/tenant/devices is sent without X-Authorization
  Then the response status is 401
  And "message" is "Authentication failed"</t>
  </si>
  <si>
    <t>No header</t>
  </si>
  <si>
    <t>TC-024</t>
  </si>
  <si>
    <t>Protected endpoint with invalid token</t>
  </si>
  <si>
    <t xml:space="preserve">Scenario: Invalid bearer token
  When GET /api/tenant/devices is sent with "Bearer invalid.jwt.token"
  Then the response status is 401
  And the message states the token is invalid or expired</t>
  </si>
  <si>
    <t>invalid.jwt.token</t>
  </si>
  <si>
    <t>Automated - @api @negative</t>
  </si>
  <si>
    <t>Fail - BUG-002 (status OK, message wrong)</t>
  </si>
  <si>
    <t>TC-025</t>
  </si>
  <si>
    <t>Find device by name</t>
  </si>
  <si>
    <t>Authenticated tenant admin</t>
  </si>
  <si>
    <t xml:space="preserve">Scenario: Device lookup
  When GET /api/tenant/devices?deviceName=Thermostat T1 is sent
  Then the response status is 200
  And id.entityType is "DEVICE" and id.id is a UUID</t>
  </si>
  <si>
    <t>Thermostat T1</t>
  </si>
  <si>
    <t>Automated - @api @device</t>
  </si>
  <si>
    <t>TC-026</t>
  </si>
  <si>
    <t>Lookup of a non-existent device</t>
  </si>
  <si>
    <t>Authenticated</t>
  </si>
  <si>
    <t xml:space="preserve">Scenario: Unknown device
  When GET /api/tenant/devices?deviceName=NoSuchDevice-123 is sent
  Then the response status is 404
  And the body contains an error message</t>
  </si>
  <si>
    <t>NoSuchDevice-123</t>
  </si>
  <si>
    <t>TC-027</t>
  </si>
  <si>
    <t>Device exposes expected telemetry keys</t>
  </si>
  <si>
    <t>Device ID known</t>
  </si>
  <si>
    <t xml:space="preserve">Scenario: Time-series keys
  When GET /api/plugins/telemetry/DEVICE/{id}/keys/timeseries is sent
  Then the response contains "temperature" and "humidity"</t>
  </si>
  <si>
    <t>telemetryKeys[]</t>
  </si>
  <si>
    <t>TC-028</t>
  </si>
  <si>
    <t>Latest telemetry key fields are valid</t>
  </si>
  <si>
    <t>Device streaming</t>
  </si>
  <si>
    <t xml:space="preserve">Scenario: Latest values
  When latest telemetry is polled until all keys are present
  Then each key has exactly one point with numeric "ts"
  And "ts" is within the last 5 minutes
  And "value" is numeric and within range</t>
  </si>
  <si>
    <t>freshnessWindowMs = 300000</t>
  </si>
  <si>
    <t>Automated - @api @telemetry</t>
  </si>
  <si>
    <t>TC-029</t>
  </si>
  <si>
    <t>New data points keep streaming</t>
  </si>
  <si>
    <t xml:space="preserve">Scenario: Streaming check
  Given the latest temperature ts is recorded
  When latest telemetry is polled for up to 30 seconds
  Then a data point with a newer ts is returned</t>
  </si>
  <si>
    <t>realtimeKey = temperature</t>
  </si>
  <si>
    <t>Automated - @api @realtime</t>
  </si>
  <si>
    <t>TC-030</t>
  </si>
  <si>
    <t>Historical telemetry is ordered and valid</t>
  </si>
  <si>
    <t xml:space="preserve">Scenario: History query
  When telemetry for the last 10 minutes is requested with orderBy=DESC and limit=100
  Then each series has 1-100 points ordered newest first
  And all values are numeric and within range</t>
  </si>
  <si>
    <t>history.windowMs = 600000</t>
  </si>
  <si>
    <t>Automated - @api @history</t>
  </si>
  <si>
    <t>TC-031</t>
  </si>
  <si>
    <t>Request an unknown telemetry key</t>
  </si>
  <si>
    <t xml:space="preserve">Scenario: Unknown key
  When latest telemetry is requested for keys=doesNotExist
  Then the response status is 200
  And the body does not contain data for "doesNotExist"</t>
  </si>
  <si>
    <t>keys=doesNotExist</t>
  </si>
  <si>
    <t>TC-032</t>
  </si>
  <si>
    <t>History with startTs after endTs</t>
  </si>
  <si>
    <t xml:space="preserve">Scenario: Inverted time range
  When history is requested with startTs greater than endTs
  Then the response status is 400 or an empty result is returned
  And no server error (5xx) occurs</t>
  </si>
  <si>
    <t>startTs = now, endTs = now - 1h</t>
  </si>
  <si>
    <t>TC-033</t>
  </si>
  <si>
    <t>History with limit=1</t>
  </si>
  <si>
    <t xml:space="preserve">Scenario: Minimum limit
  When history is requested with limit=1
  Then each key returns exactly one data point</t>
  </si>
  <si>
    <t>limit=1</t>
  </si>
  <si>
    <t>TC-034</t>
  </si>
  <si>
    <t>Expired access token is refreshed</t>
  </si>
  <si>
    <t>Valid refresh token</t>
  </si>
  <si>
    <t xml:space="preserve">Scenario: Token refresh
  Given the access token has expired
  When a telemetry request returns 401
  Then POST /api/auth/token with the refresh token returns a new token
  And the retried request returns 200</t>
  </si>
  <si>
    <t>refreshToken</t>
  </si>
  <si>
    <t>Automated - client auto-refresh</t>
  </si>
  <si>
    <t>TC-035</t>
  </si>
  <si>
    <t>Malformed device ID</t>
  </si>
  <si>
    <t xml:space="preserve">Scenario: Invalid UUID
  When latest telemetry is requested for DEVICE/not-a-uuid
  Then the response status is 400
  And no stack trace is exposed</t>
  </si>
  <si>
    <t>not-a-uuid</t>
  </si>
  <si>
    <t>TC-036</t>
  </si>
  <si>
    <t>Latest telemetry response time</t>
  </si>
  <si>
    <t>Performance</t>
  </si>
  <si>
    <t xml:space="preserve">Scenario: Response time
  When latest telemetry is requested 10 times
  Then the 90th percentile response time is under 2 seconds</t>
  </si>
  <si>
    <t>10 requests</t>
  </si>
  <si>
    <t>Dimension</t>
  </si>
  <si>
    <t>Value</t>
  </si>
  <si>
    <t>Count</t>
  </si>
  <si>
    <t>Total</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</si>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</sst>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sz val="9"/>
      <name val="Consolas"/>
    </font>
    <font>
      <b/>
    </font>
  </fonts>
  <fills count="6">
    <fill>
      <patternFill patternType="none"/>
    </fill>
    <fill>
      <patternFill patternType="gray125"/>
    </fill>
    <fill>
      <patternFill patternType="solid">
        <fgColor rgb="FF1F4E79"/>
      </patternFill>
    </fill>
    <fill>
      <patternFill patternType="solid">
        <fgColor rgb="FFE2EFDA"/>
      </patternFill>
    </fill>
    <fill>
      <patternFill patternType="solid">
        <fgColor rgb="FFFCE4D6"/>
      </patternFill>
    </fill>
    <fill>
      <patternFill patternType="solid">
        <fgColor rgb="FFFFF2CC"/>
      </patternFill>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2" fillId="0" borderId="1" xfId="0" applyFont="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3" fillId="0" borderId="0" xfId="0" applyFont="1"/>
    <xf numFmtId="0" fontId="3"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workbookViewId="0">
      <pane ySplit="1" topLeftCell="A2" activePane="bottomLeft" state="frozen"/>
      <selection pane="bottomLeft"/>
    </sheetView>
  </sheetViews>
  <sheetFormatPr defaultRowHeight="15" outlineLevelRow="0" outlineLevelCol="0" x14ac:dyDescent="55"/>
  <cols>
    <col min="2" max="2" width="15" customWidth="1"/>
    <col min="3" max="3" width="34" customWidth="1"/>
    <col min="4" max="4" width="11" customWidth="1"/>
    <col min="5" max="5" width="15" customWidth="1"/>
    <col min="7" max="7" width="24" customWidth="1"/>
    <col min="8" max="8" width="70" customWidth="1"/>
    <col min="9" max="9" width="24" customWidth="1"/>
    <col min="10" max="11" width="26"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2" t="s">
        <v>11</v>
      </c>
      <c r="B2" s="2" t="s">
        <v>12</v>
      </c>
      <c r="C2" s="2" t="s">
        <v>13</v>
      </c>
      <c r="D2" s="3" t="s">
        <v>14</v>
      </c>
      <c r="E2" s="2" t="s">
        <v>15</v>
      </c>
      <c r="F2" s="2" t="s">
        <v>16</v>
      </c>
      <c r="G2" s="2" t="s">
        <v>17</v>
      </c>
      <c r="H2" s="4" t="s">
        <v>18</v>
      </c>
      <c r="I2" s="2" t="s">
        <v>19</v>
      </c>
      <c r="J2" s="2" t="s">
        <v>20</v>
      </c>
      <c r="K2" s="2" t="s">
        <v>21</v>
      </c>
    </row>
    <row r="3" spans="1:11" x14ac:dyDescent="0.25">
      <c r="A3" s="2" t="s">
        <v>22</v>
      </c>
      <c r="B3" s="2" t="s">
        <v>12</v>
      </c>
      <c r="C3" s="2" t="s">
        <v>23</v>
      </c>
      <c r="D3" s="5" t="s">
        <v>24</v>
      </c>
      <c r="E3" s="2" t="s">
        <v>15</v>
      </c>
      <c r="F3" s="2" t="s">
        <v>16</v>
      </c>
      <c r="G3" s="2" t="s">
        <v>25</v>
      </c>
      <c r="H3" s="4" t="s">
        <v>26</v>
      </c>
      <c r="I3" s="2" t="s">
        <v>27</v>
      </c>
      <c r="J3" s="2" t="s">
        <v>28</v>
      </c>
      <c r="K3" s="2" t="s">
        <v>29</v>
      </c>
    </row>
    <row r="4" spans="1:11" x14ac:dyDescent="0.25">
      <c r="A4" s="2" t="s">
        <v>30</v>
      </c>
      <c r="B4" s="2" t="s">
        <v>12</v>
      </c>
      <c r="C4" s="2" t="s">
        <v>31</v>
      </c>
      <c r="D4" s="5" t="s">
        <v>24</v>
      </c>
      <c r="E4" s="2" t="s">
        <v>32</v>
      </c>
      <c r="F4" s="2" t="s">
        <v>33</v>
      </c>
      <c r="G4" s="2" t="s">
        <v>25</v>
      </c>
      <c r="H4" s="4" t="s">
        <v>34</v>
      </c>
      <c r="I4" s="2" t="s">
        <v>35</v>
      </c>
      <c r="J4" s="2" t="s">
        <v>28</v>
      </c>
      <c r="K4" s="2" t="s">
        <v>36</v>
      </c>
    </row>
    <row r="5" spans="1:11" x14ac:dyDescent="0.25">
      <c r="A5" s="2" t="s">
        <v>37</v>
      </c>
      <c r="B5" s="2" t="s">
        <v>12</v>
      </c>
      <c r="C5" s="2" t="s">
        <v>38</v>
      </c>
      <c r="D5" s="6" t="s">
        <v>39</v>
      </c>
      <c r="E5" s="2" t="s">
        <v>32</v>
      </c>
      <c r="F5" s="2" t="s">
        <v>40</v>
      </c>
      <c r="G5" s="2" t="s">
        <v>25</v>
      </c>
      <c r="H5" s="4" t="s">
        <v>41</v>
      </c>
      <c r="I5" s="2" t="s">
        <v>42</v>
      </c>
      <c r="J5" s="2" t="s">
        <v>28</v>
      </c>
      <c r="K5" s="2" t="s">
        <v>43</v>
      </c>
    </row>
    <row r="6" spans="1:11" x14ac:dyDescent="0.25">
      <c r="A6" s="2" t="s">
        <v>44</v>
      </c>
      <c r="B6" s="2" t="s">
        <v>12</v>
      </c>
      <c r="C6" s="2" t="s">
        <v>45</v>
      </c>
      <c r="D6" s="6" t="s">
        <v>39</v>
      </c>
      <c r="E6" s="2" t="s">
        <v>46</v>
      </c>
      <c r="F6" s="2" t="s">
        <v>40</v>
      </c>
      <c r="G6" s="2" t="s">
        <v>47</v>
      </c>
      <c r="H6" s="4" t="s">
        <v>48</v>
      </c>
      <c r="I6" s="2" t="s">
        <v>49</v>
      </c>
      <c r="J6" s="2" t="s">
        <v>28</v>
      </c>
      <c r="K6" s="2" t="s">
        <v>50</v>
      </c>
    </row>
    <row r="7" spans="1:11" x14ac:dyDescent="0.25">
      <c r="A7" s="2" t="s">
        <v>51</v>
      </c>
      <c r="B7" s="2" t="s">
        <v>52</v>
      </c>
      <c r="C7" s="2" t="s">
        <v>53</v>
      </c>
      <c r="D7" s="3" t="s">
        <v>14</v>
      </c>
      <c r="E7" s="2" t="s">
        <v>15</v>
      </c>
      <c r="F7" s="2" t="s">
        <v>16</v>
      </c>
      <c r="G7" s="2" t="s">
        <v>54</v>
      </c>
      <c r="H7" s="4" t="s">
        <v>55</v>
      </c>
      <c r="I7" s="2" t="s">
        <v>56</v>
      </c>
      <c r="J7" s="2" t="s">
        <v>57</v>
      </c>
      <c r="K7" s="2" t="s">
        <v>21</v>
      </c>
    </row>
    <row r="8" spans="1:11" x14ac:dyDescent="0.25">
      <c r="A8" s="2" t="s">
        <v>58</v>
      </c>
      <c r="B8" s="2" t="s">
        <v>52</v>
      </c>
      <c r="C8" s="2" t="s">
        <v>59</v>
      </c>
      <c r="D8" s="3" t="s">
        <v>14</v>
      </c>
      <c r="E8" s="2" t="s">
        <v>32</v>
      </c>
      <c r="F8" s="2" t="s">
        <v>16</v>
      </c>
      <c r="G8" s="2" t="s">
        <v>60</v>
      </c>
      <c r="H8" s="4" t="s">
        <v>61</v>
      </c>
      <c r="I8" s="2" t="s">
        <v>62</v>
      </c>
      <c r="J8" s="2" t="s">
        <v>63</v>
      </c>
      <c r="K8" s="2" t="s">
        <v>21</v>
      </c>
    </row>
    <row r="9" spans="1:11" x14ac:dyDescent="0.25">
      <c r="A9" s="2" t="s">
        <v>64</v>
      </c>
      <c r="B9" s="2" t="s">
        <v>52</v>
      </c>
      <c r="C9" s="2" t="s">
        <v>65</v>
      </c>
      <c r="D9" s="3" t="s">
        <v>14</v>
      </c>
      <c r="E9" s="2" t="s">
        <v>66</v>
      </c>
      <c r="F9" s="2" t="s">
        <v>16</v>
      </c>
      <c r="G9" s="2" t="s">
        <v>67</v>
      </c>
      <c r="H9" s="4" t="s">
        <v>68</v>
      </c>
      <c r="I9" s="2" t="s">
        <v>69</v>
      </c>
      <c r="J9" s="2" t="s">
        <v>70</v>
      </c>
      <c r="K9" s="2" t="s">
        <v>21</v>
      </c>
    </row>
    <row r="10" spans="1:11" x14ac:dyDescent="0.25">
      <c r="A10" s="2" t="s">
        <v>71</v>
      </c>
      <c r="B10" s="2" t="s">
        <v>52</v>
      </c>
      <c r="C10" s="2" t="s">
        <v>72</v>
      </c>
      <c r="D10" s="3" t="s">
        <v>14</v>
      </c>
      <c r="E10" s="2" t="s">
        <v>73</v>
      </c>
      <c r="F10" s="2" t="s">
        <v>16</v>
      </c>
      <c r="G10" s="2" t="s">
        <v>74</v>
      </c>
      <c r="H10" s="4" t="s">
        <v>75</v>
      </c>
      <c r="I10" s="2" t="s">
        <v>76</v>
      </c>
      <c r="J10" s="2" t="s">
        <v>77</v>
      </c>
      <c r="K10" s="2" t="s">
        <v>21</v>
      </c>
    </row>
    <row r="11" spans="1:11" x14ac:dyDescent="0.25">
      <c r="A11" s="2" t="s">
        <v>78</v>
      </c>
      <c r="B11" s="2" t="s">
        <v>52</v>
      </c>
      <c r="C11" s="2" t="s">
        <v>79</v>
      </c>
      <c r="D11" s="3" t="s">
        <v>14</v>
      </c>
      <c r="E11" s="2" t="s">
        <v>73</v>
      </c>
      <c r="F11" s="2" t="s">
        <v>16</v>
      </c>
      <c r="G11" s="2" t="s">
        <v>74</v>
      </c>
      <c r="H11" s="4" t="s">
        <v>80</v>
      </c>
      <c r="I11" s="2" t="s">
        <v>76</v>
      </c>
      <c r="J11" s="2" t="s">
        <v>77</v>
      </c>
      <c r="K11" s="2" t="s">
        <v>21</v>
      </c>
    </row>
    <row r="12" spans="1:11" x14ac:dyDescent="0.25">
      <c r="A12" s="2" t="s">
        <v>81</v>
      </c>
      <c r="B12" s="2" t="s">
        <v>52</v>
      </c>
      <c r="C12" s="2" t="s">
        <v>82</v>
      </c>
      <c r="D12" s="3" t="s">
        <v>14</v>
      </c>
      <c r="E12" s="2" t="s">
        <v>32</v>
      </c>
      <c r="F12" s="2" t="s">
        <v>33</v>
      </c>
      <c r="G12" s="2" t="s">
        <v>60</v>
      </c>
      <c r="H12" s="4" t="s">
        <v>83</v>
      </c>
      <c r="I12" s="2" t="s">
        <v>84</v>
      </c>
      <c r="J12" s="2" t="s">
        <v>85</v>
      </c>
      <c r="K12" s="2" t="s">
        <v>21</v>
      </c>
    </row>
    <row r="13" spans="1:11" x14ac:dyDescent="0.25">
      <c r="A13" s="2" t="s">
        <v>86</v>
      </c>
      <c r="B13" s="2" t="s">
        <v>52</v>
      </c>
      <c r="C13" s="2" t="s">
        <v>87</v>
      </c>
      <c r="D13" s="5" t="s">
        <v>24</v>
      </c>
      <c r="E13" s="2" t="s">
        <v>15</v>
      </c>
      <c r="F13" s="2" t="s">
        <v>33</v>
      </c>
      <c r="G13" s="2" t="s">
        <v>54</v>
      </c>
      <c r="H13" s="4" t="s">
        <v>88</v>
      </c>
      <c r="I13" s="2" t="s">
        <v>89</v>
      </c>
      <c r="J13" s="2" t="s">
        <v>28</v>
      </c>
      <c r="K13" s="2" t="s">
        <v>21</v>
      </c>
    </row>
    <row r="14" spans="1:11" x14ac:dyDescent="0.25">
      <c r="A14" s="2" t="s">
        <v>90</v>
      </c>
      <c r="B14" s="2" t="s">
        <v>52</v>
      </c>
      <c r="C14" s="2" t="s">
        <v>91</v>
      </c>
      <c r="D14" s="5" t="s">
        <v>24</v>
      </c>
      <c r="E14" s="2" t="s">
        <v>92</v>
      </c>
      <c r="F14" s="2" t="s">
        <v>16</v>
      </c>
      <c r="G14" s="2" t="s">
        <v>93</v>
      </c>
      <c r="H14" s="4" t="s">
        <v>94</v>
      </c>
      <c r="I14" s="2" t="s">
        <v>95</v>
      </c>
      <c r="J14" s="2" t="s">
        <v>28</v>
      </c>
      <c r="K14" s="2" t="s">
        <v>21</v>
      </c>
    </row>
    <row r="15" spans="1:11" x14ac:dyDescent="0.25">
      <c r="A15" s="2" t="s">
        <v>96</v>
      </c>
      <c r="B15" s="2" t="s">
        <v>52</v>
      </c>
      <c r="C15" s="2" t="s">
        <v>97</v>
      </c>
      <c r="D15" s="6" t="s">
        <v>39</v>
      </c>
      <c r="E15" s="2" t="s">
        <v>66</v>
      </c>
      <c r="F15" s="2" t="s">
        <v>33</v>
      </c>
      <c r="G15" s="2" t="s">
        <v>98</v>
      </c>
      <c r="H15" s="4" t="s">
        <v>99</v>
      </c>
      <c r="I15" s="2" t="s">
        <v>100</v>
      </c>
      <c r="J15" s="2" t="s">
        <v>28</v>
      </c>
      <c r="K15" s="2" t="s">
        <v>21</v>
      </c>
    </row>
    <row r="16" spans="1:11" x14ac:dyDescent="0.25">
      <c r="A16" s="2" t="s">
        <v>101</v>
      </c>
      <c r="B16" s="2" t="s">
        <v>52</v>
      </c>
      <c r="C16" s="2" t="s">
        <v>102</v>
      </c>
      <c r="D16" s="6" t="s">
        <v>39</v>
      </c>
      <c r="E16" s="2" t="s">
        <v>66</v>
      </c>
      <c r="F16" s="2" t="s">
        <v>33</v>
      </c>
      <c r="G16" s="2" t="s">
        <v>103</v>
      </c>
      <c r="H16" s="4" t="s">
        <v>104</v>
      </c>
      <c r="I16" s="2" t="s">
        <v>105</v>
      </c>
      <c r="J16" s="2" t="s">
        <v>28</v>
      </c>
      <c r="K16" s="2" t="s">
        <v>21</v>
      </c>
    </row>
    <row r="17" spans="1:11" x14ac:dyDescent="0.25">
      <c r="A17" s="2" t="s">
        <v>106</v>
      </c>
      <c r="B17" s="2" t="s">
        <v>52</v>
      </c>
      <c r="C17" s="2" t="s">
        <v>107</v>
      </c>
      <c r="D17" s="6" t="s">
        <v>39</v>
      </c>
      <c r="E17" s="2" t="s">
        <v>32</v>
      </c>
      <c r="F17" s="2" t="s">
        <v>40</v>
      </c>
      <c r="G17" s="2" t="s">
        <v>60</v>
      </c>
      <c r="H17" s="4" t="s">
        <v>108</v>
      </c>
      <c r="I17" s="2" t="s">
        <v>109</v>
      </c>
      <c r="J17" s="2" t="s">
        <v>28</v>
      </c>
      <c r="K17" s="2" t="s">
        <v>21</v>
      </c>
    </row>
    <row r="18" spans="1:11" x14ac:dyDescent="0.25">
      <c r="A18" s="2" t="s">
        <v>110</v>
      </c>
      <c r="B18" s="2" t="s">
        <v>52</v>
      </c>
      <c r="C18" s="2" t="s">
        <v>111</v>
      </c>
      <c r="D18" s="6" t="s">
        <v>39</v>
      </c>
      <c r="E18" s="2" t="s">
        <v>15</v>
      </c>
      <c r="F18" s="2" t="s">
        <v>40</v>
      </c>
      <c r="G18" s="2" t="s">
        <v>60</v>
      </c>
      <c r="H18" s="4" t="s">
        <v>112</v>
      </c>
      <c r="I18" s="2" t="s">
        <v>113</v>
      </c>
      <c r="J18" s="2" t="s">
        <v>28</v>
      </c>
      <c r="K18" s="2" t="s">
        <v>21</v>
      </c>
    </row>
    <row r="19" spans="1:11" x14ac:dyDescent="0.25">
      <c r="A19" s="2" t="s">
        <v>114</v>
      </c>
      <c r="B19" s="2" t="s">
        <v>52</v>
      </c>
      <c r="C19" s="2" t="s">
        <v>115</v>
      </c>
      <c r="D19" s="6" t="s">
        <v>39</v>
      </c>
      <c r="E19" s="2" t="s">
        <v>73</v>
      </c>
      <c r="F19" s="2" t="s">
        <v>33</v>
      </c>
      <c r="G19" s="2" t="s">
        <v>60</v>
      </c>
      <c r="H19" s="4" t="s">
        <v>116</v>
      </c>
      <c r="I19" s="2" t="s">
        <v>117</v>
      </c>
      <c r="J19" s="2" t="s">
        <v>28</v>
      </c>
      <c r="K19" s="2" t="s">
        <v>21</v>
      </c>
    </row>
    <row r="20" spans="1:11" x14ac:dyDescent="0.25">
      <c r="A20" s="2" t="s">
        <v>118</v>
      </c>
      <c r="B20" s="2" t="s">
        <v>52</v>
      </c>
      <c r="C20" s="2" t="s">
        <v>119</v>
      </c>
      <c r="D20" s="6" t="s">
        <v>39</v>
      </c>
      <c r="E20" s="2" t="s">
        <v>66</v>
      </c>
      <c r="F20" s="2" t="s">
        <v>40</v>
      </c>
      <c r="G20" s="2" t="s">
        <v>120</v>
      </c>
      <c r="H20" s="4" t="s">
        <v>121</v>
      </c>
      <c r="I20" s="2" t="s">
        <v>122</v>
      </c>
      <c r="J20" s="2" t="s">
        <v>28</v>
      </c>
      <c r="K20" s="2" t="s">
        <v>21</v>
      </c>
    </row>
    <row r="21" spans="1:11" x14ac:dyDescent="0.25">
      <c r="A21" s="2" t="s">
        <v>123</v>
      </c>
      <c r="B21" s="2" t="s">
        <v>52</v>
      </c>
      <c r="C21" s="2" t="s">
        <v>124</v>
      </c>
      <c r="D21" s="3" t="s">
        <v>14</v>
      </c>
      <c r="E21" s="2" t="s">
        <v>66</v>
      </c>
      <c r="F21" s="2" t="s">
        <v>33</v>
      </c>
      <c r="G21" s="2" t="s">
        <v>120</v>
      </c>
      <c r="H21" s="4" t="s">
        <v>125</v>
      </c>
      <c r="I21" s="2" t="s">
        <v>126</v>
      </c>
      <c r="J21" s="2" t="s">
        <v>28</v>
      </c>
      <c r="K21" s="2" t="s">
        <v>21</v>
      </c>
    </row>
    <row r="22" spans="1:11" x14ac:dyDescent="0.25">
      <c r="A22" s="2" t="s">
        <v>127</v>
      </c>
      <c r="B22" s="2" t="s">
        <v>128</v>
      </c>
      <c r="C22" s="2" t="s">
        <v>129</v>
      </c>
      <c r="D22" s="3" t="s">
        <v>14</v>
      </c>
      <c r="E22" s="2" t="s">
        <v>130</v>
      </c>
      <c r="F22" s="2" t="s">
        <v>16</v>
      </c>
      <c r="G22" s="2" t="s">
        <v>131</v>
      </c>
      <c r="H22" s="4" t="s">
        <v>132</v>
      </c>
      <c r="I22" s="2" t="s">
        <v>133</v>
      </c>
      <c r="J22" s="2" t="s">
        <v>134</v>
      </c>
      <c r="K22" s="2" t="s">
        <v>21</v>
      </c>
    </row>
    <row r="23" spans="1:11" x14ac:dyDescent="0.25">
      <c r="A23" s="2" t="s">
        <v>135</v>
      </c>
      <c r="B23" s="2" t="s">
        <v>128</v>
      </c>
      <c r="C23" s="2" t="s">
        <v>136</v>
      </c>
      <c r="D23" s="5" t="s">
        <v>24</v>
      </c>
      <c r="E23" s="2" t="s">
        <v>130</v>
      </c>
      <c r="F23" s="2" t="s">
        <v>16</v>
      </c>
      <c r="G23" s="2" t="s">
        <v>25</v>
      </c>
      <c r="H23" s="4" t="s">
        <v>137</v>
      </c>
      <c r="I23" s="2" t="s">
        <v>138</v>
      </c>
      <c r="J23" s="2" t="s">
        <v>28</v>
      </c>
      <c r="K23" s="2" t="s">
        <v>29</v>
      </c>
    </row>
    <row r="24" spans="1:11" x14ac:dyDescent="0.25">
      <c r="A24" s="2" t="s">
        <v>139</v>
      </c>
      <c r="B24" s="2" t="s">
        <v>128</v>
      </c>
      <c r="C24" s="2" t="s">
        <v>140</v>
      </c>
      <c r="D24" s="5" t="s">
        <v>24</v>
      </c>
      <c r="E24" s="2" t="s">
        <v>92</v>
      </c>
      <c r="F24" s="2" t="s">
        <v>16</v>
      </c>
      <c r="G24" s="2" t="s">
        <v>25</v>
      </c>
      <c r="H24" s="4" t="s">
        <v>141</v>
      </c>
      <c r="I24" s="2" t="s">
        <v>142</v>
      </c>
      <c r="J24" s="2" t="s">
        <v>28</v>
      </c>
      <c r="K24" s="2" t="s">
        <v>29</v>
      </c>
    </row>
    <row r="25" spans="1:11" x14ac:dyDescent="0.25">
      <c r="A25" s="2" t="s">
        <v>143</v>
      </c>
      <c r="B25" s="2" t="s">
        <v>128</v>
      </c>
      <c r="C25" s="2" t="s">
        <v>144</v>
      </c>
      <c r="D25" s="5" t="s">
        <v>24</v>
      </c>
      <c r="E25" s="2" t="s">
        <v>92</v>
      </c>
      <c r="F25" s="2" t="s">
        <v>16</v>
      </c>
      <c r="G25" s="2" t="s">
        <v>25</v>
      </c>
      <c r="H25" s="4" t="s">
        <v>145</v>
      </c>
      <c r="I25" s="2" t="s">
        <v>146</v>
      </c>
      <c r="J25" s="2" t="s">
        <v>147</v>
      </c>
      <c r="K25" s="2" t="s">
        <v>148</v>
      </c>
    </row>
    <row r="26" spans="1:11" x14ac:dyDescent="0.25">
      <c r="A26" s="2" t="s">
        <v>149</v>
      </c>
      <c r="B26" s="2" t="s">
        <v>128</v>
      </c>
      <c r="C26" s="2" t="s">
        <v>150</v>
      </c>
      <c r="D26" s="3" t="s">
        <v>14</v>
      </c>
      <c r="E26" s="2" t="s">
        <v>130</v>
      </c>
      <c r="F26" s="2" t="s">
        <v>16</v>
      </c>
      <c r="G26" s="2" t="s">
        <v>151</v>
      </c>
      <c r="H26" s="4" t="s">
        <v>152</v>
      </c>
      <c r="I26" s="2" t="s">
        <v>153</v>
      </c>
      <c r="J26" s="2" t="s">
        <v>154</v>
      </c>
      <c r="K26" s="2" t="s">
        <v>21</v>
      </c>
    </row>
    <row r="27" spans="1:11" x14ac:dyDescent="0.25">
      <c r="A27" s="2" t="s">
        <v>155</v>
      </c>
      <c r="B27" s="2" t="s">
        <v>128</v>
      </c>
      <c r="C27" s="2" t="s">
        <v>156</v>
      </c>
      <c r="D27" s="5" t="s">
        <v>24</v>
      </c>
      <c r="E27" s="2" t="s">
        <v>130</v>
      </c>
      <c r="F27" s="2" t="s">
        <v>33</v>
      </c>
      <c r="G27" s="2" t="s">
        <v>157</v>
      </c>
      <c r="H27" s="4" t="s">
        <v>158</v>
      </c>
      <c r="I27" s="2" t="s">
        <v>159</v>
      </c>
      <c r="J27" s="2" t="s">
        <v>28</v>
      </c>
      <c r="K27" s="2" t="s">
        <v>21</v>
      </c>
    </row>
    <row r="28" spans="1:11" x14ac:dyDescent="0.25">
      <c r="A28" s="2" t="s">
        <v>160</v>
      </c>
      <c r="B28" s="2" t="s">
        <v>128</v>
      </c>
      <c r="C28" s="2" t="s">
        <v>161</v>
      </c>
      <c r="D28" s="3" t="s">
        <v>14</v>
      </c>
      <c r="E28" s="2" t="s">
        <v>130</v>
      </c>
      <c r="F28" s="2" t="s">
        <v>16</v>
      </c>
      <c r="G28" s="2" t="s">
        <v>162</v>
      </c>
      <c r="H28" s="4" t="s">
        <v>163</v>
      </c>
      <c r="I28" s="2" t="s">
        <v>164</v>
      </c>
      <c r="J28" s="2" t="s">
        <v>154</v>
      </c>
      <c r="K28" s="2" t="s">
        <v>21</v>
      </c>
    </row>
    <row r="29" spans="1:11" x14ac:dyDescent="0.25">
      <c r="A29" s="2" t="s">
        <v>165</v>
      </c>
      <c r="B29" s="2" t="s">
        <v>128</v>
      </c>
      <c r="C29" s="2" t="s">
        <v>166</v>
      </c>
      <c r="D29" s="3" t="s">
        <v>14</v>
      </c>
      <c r="E29" s="2" t="s">
        <v>130</v>
      </c>
      <c r="F29" s="2" t="s">
        <v>16</v>
      </c>
      <c r="G29" s="2" t="s">
        <v>167</v>
      </c>
      <c r="H29" s="4" t="s">
        <v>168</v>
      </c>
      <c r="I29" s="2" t="s">
        <v>169</v>
      </c>
      <c r="J29" s="2" t="s">
        <v>170</v>
      </c>
      <c r="K29" s="2" t="s">
        <v>21</v>
      </c>
    </row>
    <row r="30" spans="1:11" x14ac:dyDescent="0.25">
      <c r="A30" s="2" t="s">
        <v>171</v>
      </c>
      <c r="B30" s="2" t="s">
        <v>128</v>
      </c>
      <c r="C30" s="2" t="s">
        <v>172</v>
      </c>
      <c r="D30" s="3" t="s">
        <v>14</v>
      </c>
      <c r="E30" s="2" t="s">
        <v>73</v>
      </c>
      <c r="F30" s="2" t="s">
        <v>16</v>
      </c>
      <c r="G30" s="2" t="s">
        <v>167</v>
      </c>
      <c r="H30" s="4" t="s">
        <v>173</v>
      </c>
      <c r="I30" s="2" t="s">
        <v>174</v>
      </c>
      <c r="J30" s="2" t="s">
        <v>175</v>
      </c>
      <c r="K30" s="2" t="s">
        <v>21</v>
      </c>
    </row>
    <row r="31" spans="1:11" x14ac:dyDescent="0.25">
      <c r="A31" s="2" t="s">
        <v>176</v>
      </c>
      <c r="B31" s="2" t="s">
        <v>128</v>
      </c>
      <c r="C31" s="2" t="s">
        <v>177</v>
      </c>
      <c r="D31" s="3" t="s">
        <v>14</v>
      </c>
      <c r="E31" s="2" t="s">
        <v>130</v>
      </c>
      <c r="F31" s="2" t="s">
        <v>33</v>
      </c>
      <c r="G31" s="2" t="s">
        <v>167</v>
      </c>
      <c r="H31" s="4" t="s">
        <v>178</v>
      </c>
      <c r="I31" s="2" t="s">
        <v>179</v>
      </c>
      <c r="J31" s="2" t="s">
        <v>180</v>
      </c>
      <c r="K31" s="2" t="s">
        <v>21</v>
      </c>
    </row>
    <row r="32" spans="1:11" x14ac:dyDescent="0.25">
      <c r="A32" s="2" t="s">
        <v>181</v>
      </c>
      <c r="B32" s="2" t="s">
        <v>128</v>
      </c>
      <c r="C32" s="2" t="s">
        <v>182</v>
      </c>
      <c r="D32" s="5" t="s">
        <v>24</v>
      </c>
      <c r="E32" s="2" t="s">
        <v>130</v>
      </c>
      <c r="F32" s="2" t="s">
        <v>33</v>
      </c>
      <c r="G32" s="2" t="s">
        <v>162</v>
      </c>
      <c r="H32" s="4" t="s">
        <v>183</v>
      </c>
      <c r="I32" s="2" t="s">
        <v>184</v>
      </c>
      <c r="J32" s="2" t="s">
        <v>28</v>
      </c>
      <c r="K32" s="2" t="s">
        <v>21</v>
      </c>
    </row>
    <row r="33" spans="1:11" x14ac:dyDescent="0.25">
      <c r="A33" s="2" t="s">
        <v>185</v>
      </c>
      <c r="B33" s="2" t="s">
        <v>128</v>
      </c>
      <c r="C33" s="2" t="s">
        <v>186</v>
      </c>
      <c r="D33" s="6" t="s">
        <v>39</v>
      </c>
      <c r="E33" s="2" t="s">
        <v>130</v>
      </c>
      <c r="F33" s="2" t="s">
        <v>33</v>
      </c>
      <c r="G33" s="2" t="s">
        <v>162</v>
      </c>
      <c r="H33" s="4" t="s">
        <v>187</v>
      </c>
      <c r="I33" s="2" t="s">
        <v>188</v>
      </c>
      <c r="J33" s="2" t="s">
        <v>28</v>
      </c>
      <c r="K33" s="2" t="s">
        <v>21</v>
      </c>
    </row>
    <row r="34" spans="1:11" x14ac:dyDescent="0.25">
      <c r="A34" s="2" t="s">
        <v>189</v>
      </c>
      <c r="B34" s="2" t="s">
        <v>128</v>
      </c>
      <c r="C34" s="2" t="s">
        <v>190</v>
      </c>
      <c r="D34" s="6" t="s">
        <v>39</v>
      </c>
      <c r="E34" s="2" t="s">
        <v>130</v>
      </c>
      <c r="F34" s="2" t="s">
        <v>40</v>
      </c>
      <c r="G34" s="2" t="s">
        <v>167</v>
      </c>
      <c r="H34" s="4" t="s">
        <v>191</v>
      </c>
      <c r="I34" s="2" t="s">
        <v>192</v>
      </c>
      <c r="J34" s="2" t="s">
        <v>28</v>
      </c>
      <c r="K34" s="2" t="s">
        <v>21</v>
      </c>
    </row>
    <row r="35" spans="1:11" x14ac:dyDescent="0.25">
      <c r="A35" s="2" t="s">
        <v>193</v>
      </c>
      <c r="B35" s="2" t="s">
        <v>128</v>
      </c>
      <c r="C35" s="2" t="s">
        <v>194</v>
      </c>
      <c r="D35" s="6" t="s">
        <v>39</v>
      </c>
      <c r="E35" s="2" t="s">
        <v>92</v>
      </c>
      <c r="F35" s="2" t="s">
        <v>33</v>
      </c>
      <c r="G35" s="2" t="s">
        <v>195</v>
      </c>
      <c r="H35" s="4" t="s">
        <v>196</v>
      </c>
      <c r="I35" s="2" t="s">
        <v>197</v>
      </c>
      <c r="J35" s="2" t="s">
        <v>198</v>
      </c>
      <c r="K35" s="2" t="s">
        <v>21</v>
      </c>
    </row>
    <row r="36" spans="1:11" x14ac:dyDescent="0.25">
      <c r="A36" s="2" t="s">
        <v>199</v>
      </c>
      <c r="B36" s="2" t="s">
        <v>128</v>
      </c>
      <c r="C36" s="2" t="s">
        <v>200</v>
      </c>
      <c r="D36" s="5" t="s">
        <v>24</v>
      </c>
      <c r="E36" s="2" t="s">
        <v>130</v>
      </c>
      <c r="F36" s="2" t="s">
        <v>33</v>
      </c>
      <c r="G36" s="2" t="s">
        <v>157</v>
      </c>
      <c r="H36" s="4" t="s">
        <v>201</v>
      </c>
      <c r="I36" s="2" t="s">
        <v>202</v>
      </c>
      <c r="J36" s="2" t="s">
        <v>28</v>
      </c>
      <c r="K36" s="2" t="s">
        <v>21</v>
      </c>
    </row>
    <row r="37" spans="1:11" x14ac:dyDescent="0.25">
      <c r="A37" s="2" t="s">
        <v>203</v>
      </c>
      <c r="B37" s="2" t="s">
        <v>128</v>
      </c>
      <c r="C37" s="2" t="s">
        <v>204</v>
      </c>
      <c r="D37" s="6" t="s">
        <v>39</v>
      </c>
      <c r="E37" s="2" t="s">
        <v>205</v>
      </c>
      <c r="F37" s="2" t="s">
        <v>40</v>
      </c>
      <c r="G37" s="2" t="s">
        <v>157</v>
      </c>
      <c r="H37" s="4" t="s">
        <v>206</v>
      </c>
      <c r="I37" s="2" t="s">
        <v>207</v>
      </c>
      <c r="J37" s="2" t="s">
        <v>28</v>
      </c>
      <c r="K37" s="2" t="s">
        <v>21</v>
      </c>
    </row>
  </sheetData>
  <autoFilter ref="A1:K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pane ySplit="1" topLeftCell="A2" activePane="bottomLeft" state="frozen"/>
      <selection pane="bottomLeft"/>
    </sheetView>
  </sheetViews>
  <sheetFormatPr defaultRowHeight="15" outlineLevelRow="0" outlineLevelCol="0" x14ac:dyDescent="55"/>
  <cols>
    <col min="1" max="2" width="18" customWidth="1"/>
    <col min="3" max="3" width="10" customWidth="1"/>
  </cols>
  <sheetData>
    <row r="1" spans="1:3" x14ac:dyDescent="0.25">
      <c r="A1" s="1" t="s">
        <v>208</v>
      </c>
      <c r="B1" s="1" t="s">
        <v>209</v>
      </c>
      <c r="C1" s="1" t="s">
        <v>210</v>
      </c>
    </row>
    <row r="2" spans="1:3" x14ac:dyDescent="0.25">
      <c r="A2" s="2" t="s">
        <v>3</v>
      </c>
      <c r="B2" s="2" t="s">
        <v>14</v>
      </c>
      <c r="C2" s="2">
        <f>COUNTIF('Test Cases'!D2:D37,"Positive")</f>
      </c>
    </row>
    <row r="3" spans="1:3" x14ac:dyDescent="0.25">
      <c r="A3" s="2" t="s">
        <v>3</v>
      </c>
      <c r="B3" s="2" t="s">
        <v>24</v>
      </c>
      <c r="C3" s="2">
        <f>COUNTIF('Test Cases'!D2:D37,"Negative")</f>
      </c>
    </row>
    <row r="4" spans="1:3" x14ac:dyDescent="0.25">
      <c r="A4" s="2" t="s">
        <v>3</v>
      </c>
      <c r="B4" s="2" t="s">
        <v>39</v>
      </c>
      <c r="C4" s="2">
        <f>COUNTIF('Test Cases'!D2:D37,"Edge")</f>
      </c>
    </row>
    <row r="5" spans="1:3" x14ac:dyDescent="0.25">
      <c r="A5" s="2" t="s">
        <v>5</v>
      </c>
      <c r="B5" s="2" t="s">
        <v>16</v>
      </c>
      <c r="C5" s="2">
        <f>COUNTIF('Test Cases'!F2:F37,"P1")</f>
      </c>
    </row>
    <row r="6" spans="1:3" x14ac:dyDescent="0.25">
      <c r="A6" s="2" t="s">
        <v>5</v>
      </c>
      <c r="B6" s="2" t="s">
        <v>33</v>
      </c>
      <c r="C6" s="2">
        <f>COUNTIF('Test Cases'!F2:F37,"P2")</f>
      </c>
    </row>
    <row r="7" spans="1:3" x14ac:dyDescent="0.25">
      <c r="A7" s="2" t="s">
        <v>5</v>
      </c>
      <c r="B7" s="2" t="s">
        <v>40</v>
      </c>
      <c r="C7" s="2">
        <f>COUNTIF('Test Cases'!F2:F37,"P3")</f>
      </c>
    </row>
    <row r="8" spans="1:3" x14ac:dyDescent="0.25">
      <c r="A8" s="2" t="s">
        <v>4</v>
      </c>
      <c r="B8" s="2" t="s">
        <v>15</v>
      </c>
      <c r="C8" s="2">
        <f>COUNTIF('Test Cases'!E2:E37,"Functional")</f>
      </c>
    </row>
    <row r="9" spans="1:3" x14ac:dyDescent="0.25">
      <c r="A9" s="2" t="s">
        <v>4</v>
      </c>
      <c r="B9" s="2" t="s">
        <v>32</v>
      </c>
      <c r="C9" s="2">
        <f>COUNTIF('Test Cases'!E2:E37,"UI")</f>
      </c>
    </row>
    <row r="10" spans="1:3" x14ac:dyDescent="0.25">
      <c r="A10" s="2" t="s">
        <v>4</v>
      </c>
      <c r="B10" s="2" t="s">
        <v>46</v>
      </c>
      <c r="C10" s="2">
        <f>COUNTIF('Test Cases'!E2:E37,"Accessibility")</f>
      </c>
    </row>
    <row r="11" spans="1:3" x14ac:dyDescent="0.25">
      <c r="A11" s="2" t="s">
        <v>4</v>
      </c>
      <c r="B11" s="2" t="s">
        <v>66</v>
      </c>
      <c r="C11" s="2">
        <f>COUNTIF('Test Cases'!E2:E37,"Data Validation")</f>
      </c>
    </row>
    <row r="12" spans="1:3" x14ac:dyDescent="0.25">
      <c r="A12" s="2" t="s">
        <v>4</v>
      </c>
      <c r="B12" s="2" t="s">
        <v>73</v>
      </c>
      <c r="C12" s="2">
        <f>COUNTIF('Test Cases'!E2:E37,"Real-time")</f>
      </c>
    </row>
    <row r="13" spans="1:3" x14ac:dyDescent="0.25">
      <c r="A13" s="2" t="s">
        <v>4</v>
      </c>
      <c r="B13" s="2" t="s">
        <v>92</v>
      </c>
      <c r="C13" s="2">
        <f>COUNTIF('Test Cases'!E2:E37,"Security")</f>
      </c>
    </row>
    <row r="14" spans="1:3" x14ac:dyDescent="0.25">
      <c r="A14" s="2" t="s">
        <v>4</v>
      </c>
      <c r="B14" s="2" t="s">
        <v>130</v>
      </c>
      <c r="C14" s="2">
        <f>COUNTIF('Test Cases'!E2:E37,"API")</f>
      </c>
    </row>
    <row r="15" spans="1:3" x14ac:dyDescent="0.25">
      <c r="A15" s="2" t="s">
        <v>4</v>
      </c>
      <c r="B15" s="2" t="s">
        <v>205</v>
      </c>
      <c r="C15" s="2">
        <f>COUNTIF('Test Cases'!E2:E37,"Performance")</f>
      </c>
    </row>
    <row r="16" spans="1:3" x14ac:dyDescent="0.25">
      <c r="A16" s="2" t="s">
        <v>1</v>
      </c>
      <c r="B16" s="2" t="s">
        <v>12</v>
      </c>
      <c r="C16" s="2">
        <f>COUNTIF('Test Cases'!B2:B37,"Login (UI)")</f>
      </c>
    </row>
    <row r="17" spans="1:3" x14ac:dyDescent="0.25">
      <c r="A17" s="2" t="s">
        <v>1</v>
      </c>
      <c r="B17" s="2" t="s">
        <v>52</v>
      </c>
      <c r="C17" s="2">
        <f>COUNTIF('Test Cases'!B2:B37,"Dashboard (UI)")</f>
      </c>
    </row>
    <row r="18" spans="1:3" x14ac:dyDescent="0.25">
      <c r="A18" s="2" t="s">
        <v>1</v>
      </c>
      <c r="B18" s="2" t="s">
        <v>128</v>
      </c>
      <c r="C18" s="2">
        <f>COUNTIF('Test Cases'!B2:B37,"Telemetry API")</f>
      </c>
    </row>
    <row r="19" spans="1:3" s="7" customFormat="1" x14ac:dyDescent="0.25">
      <c r="A19" s="8" t="s">
        <v>211</v>
      </c>
      <c r="B19" s="8" t="s">
        <v>212</v>
      </c>
      <c r="C19" s="8">
        <f>COUNTA('Test Cases'!A2:A37)</f>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ABB Test Automation</dc:creator>
  <dc:title/>
  <dc:subject/>
  <dc:description/>
  <cp:keywords/>
  <cp:category/>
  <cp:lastModifiedBy>Unknown</cp:lastModifiedBy>
  <dcterms:created xsi:type="dcterms:W3CDTF">2026-10-05T16:22:58Z</dcterms:created>
  <dcterms:modified xsi:type="dcterms:W3CDTF">2026-10-05T16:22:58Z</dcterms:modified>
</cp:coreProperties>
</file>